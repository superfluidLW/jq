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SW007\Documents\chenGuang\jq\jq_core\src\main\resources\"/>
    </mc:Choice>
  </mc:AlternateContent>
  <bookViews>
    <workbookView xWindow="0" yWindow="0" windowWidth="30720" windowHeight="13104"/>
  </bookViews>
  <sheets>
    <sheet name="main" sheetId="1" r:id="rId1"/>
    <sheet name="referenceData" sheetId="2" r:id="rId2"/>
  </sheets>
  <functionGroups builtInGroupCount="18"/>
  <definedNames>
    <definedName name="BusinessDayConvention">referenceData!$E$6:$E$10</definedName>
    <definedName name="Currency">referenceData!$F$6</definedName>
    <definedName name="DayCount">referenceData!$G$6:$G$8</definedName>
    <definedName name="Frequency">referenceData!$H$6:$H$10</definedName>
    <definedName name="OptionDirection">referenceData!$I$6:$I$7</definedName>
    <definedName name="Stub">referenceData!$J$6:$J$9</definedName>
    <definedName name="TradeLabel">referenceData!$K$6:$K$11</definedName>
    <definedName name="TradeType">referenceData!$L$6:$L$10</definedName>
    <definedName name="ValuationModel">referenceData!$M$6:$M$7</definedName>
    <definedName name="Venue">referenceData!$N$6:$N$9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 a="1"/>
  <c r="H5" i="2" l="1"/>
  <c r="N5" i="2"/>
  <c r="J6" i="2"/>
  <c r="F7" i="2"/>
  <c r="L7" i="2"/>
  <c r="H8" i="2"/>
  <c r="N8" i="2"/>
  <c r="J9" i="2"/>
  <c r="F10" i="2"/>
  <c r="L10" i="2"/>
  <c r="H11" i="2"/>
  <c r="N11" i="2"/>
  <c r="I5" i="2"/>
  <c r="E6" i="2"/>
  <c r="K6" i="2"/>
  <c r="G7" i="2"/>
  <c r="M7" i="2"/>
  <c r="I8" i="2"/>
  <c r="E9" i="2"/>
  <c r="K9" i="2"/>
  <c r="G10" i="2"/>
  <c r="M10" i="2"/>
  <c r="I11" i="2"/>
  <c r="J5" i="2"/>
  <c r="F6" i="2"/>
  <c r="L6" i="2"/>
  <c r="H7" i="2"/>
  <c r="N7" i="2"/>
  <c r="J8" i="2"/>
  <c r="F9" i="2"/>
  <c r="L9" i="2"/>
  <c r="H10" i="2"/>
  <c r="N10" i="2"/>
  <c r="J11" i="2"/>
  <c r="E5" i="2"/>
  <c r="K5" i="2"/>
  <c r="G6" i="2"/>
  <c r="M6" i="2"/>
  <c r="I7" i="2"/>
  <c r="E8" i="2"/>
  <c r="K8" i="2"/>
  <c r="G9" i="2"/>
  <c r="M9" i="2"/>
  <c r="I10" i="2"/>
  <c r="E11" i="2"/>
  <c r="K11" i="2"/>
  <c r="F5" i="2"/>
  <c r="L5" i="2"/>
  <c r="H6" i="2"/>
  <c r="N6" i="2"/>
  <c r="J7" i="2"/>
  <c r="F8" i="2"/>
  <c r="L8" i="2"/>
  <c r="H9" i="2"/>
  <c r="N9" i="2"/>
  <c r="J10" i="2"/>
  <c r="F11" i="2"/>
  <c r="L11" i="2"/>
  <c r="G5" i="2"/>
  <c r="M5" i="2"/>
  <c r="I6" i="2"/>
  <c r="E7" i="2"/>
  <c r="K7" i="2"/>
  <c r="G8" i="2"/>
  <c r="M8" i="2"/>
  <c r="I9" i="2"/>
  <c r="E10" i="2"/>
  <c r="K10" i="2"/>
  <c r="G11" i="2"/>
  <c r="M11" i="2"/>
</calcChain>
</file>

<file path=xl/sharedStrings.xml><?xml version="1.0" encoding="utf-8"?>
<sst xmlns="http://schemas.openxmlformats.org/spreadsheetml/2006/main" count="6" uniqueCount="6">
  <si>
    <t>VanillaOption</t>
  </si>
  <si>
    <t>TradeType</t>
    <phoneticPr fontId="1" type="noConversion"/>
  </si>
  <si>
    <t>Label</t>
    <phoneticPr fontId="1" type="noConversion"/>
  </si>
  <si>
    <t>Value</t>
    <phoneticPr fontId="1" type="noConversion"/>
  </si>
  <si>
    <t>OptionDirection</t>
    <phoneticPr fontId="1" type="noConversion"/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</si>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</sst>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2"/>
  <sheetViews>
    <sheetView tabSelected="1" workbookViewId="0">
      <selection activeCell="C5" sqref="C5"/>
    </sheetView>
  </sheetViews>
  <sheetFormatPr defaultRowHeight="14.4" x14ac:dyDescent="0.25"/>
  <cols>
    <col min="1" max="1" width="2.44140625" customWidth="1"/>
    <col min="2" max="2" width="17.21875" bestFit="1" customWidth="1"/>
    <col min="3" max="3" width="15" bestFit="1" customWidth="1"/>
  </cols>
  <sheetData>
    <row r="2" spans="2:3" x14ac:dyDescent="0.25">
      <c r="B2" s="2" t="s">
        <v>2</v>
      </c>
      <c r="C2" s="3" t="s">
        <v>3</v>
      </c>
    </row>
    <row r="3" spans="2:3" x14ac:dyDescent="0.25">
      <c r="B3" s="4" t="s">
        <v>1</v>
      </c>
      <c r="C3" s="5" t="s">
        <v>0</v>
      </c>
    </row>
    <row r="4" spans="2:3" x14ac:dyDescent="0.25">
      <c r="B4" s="4" t="s">
        <v>4</v>
      </c>
      <c r="C4" s="5" t="s">
        <v>5</v>
      </c>
    </row>
    <row r="5" spans="2:3" x14ac:dyDescent="0.25">
      <c r="B5" s="4"/>
      <c r="C5" s="5"/>
    </row>
    <row r="6" spans="2:3" x14ac:dyDescent="0.25">
      <c r="B6" s="4"/>
      <c r="C6" s="5"/>
    </row>
    <row r="7" spans="2:3" x14ac:dyDescent="0.25">
      <c r="B7" s="4"/>
      <c r="C7" s="5"/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6"/>
      <c r="C22" s="7"/>
    </row>
  </sheetData>
  <phoneticPr fontId="1" type="noConversion"/>
  <dataValidations count="2">
    <dataValidation type="list" allowBlank="1" showInputMessage="1" showErrorMessage="1" sqref="C3">
      <formula1>TradeType</formula1>
    </dataValidation>
    <dataValidation type="list" allowBlank="1" showInputMessage="1" showErrorMessage="1" sqref="C4">
      <formula1>OptionDirection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5:N11"/>
  <sheetViews>
    <sheetView workbookViewId="0">
      <selection activeCell="M15" sqref="M15"/>
    </sheetView>
  </sheetViews>
  <sheetFormatPr defaultRowHeight="14.4" x14ac:dyDescent="0.25"/>
  <cols>
    <col min="5" max="5" width="23.77734375" bestFit="1" customWidth="1"/>
    <col min="6" max="6" width="9.5546875" bestFit="1" customWidth="1"/>
    <col min="7" max="7" width="10.44140625" bestFit="1" customWidth="1"/>
    <col min="8" max="8" width="11.6640625" bestFit="1" customWidth="1"/>
    <col min="9" max="9" width="17.21875" bestFit="1" customWidth="1"/>
    <col min="10" max="10" width="11.6640625" bestFit="1" customWidth="1"/>
    <col min="11" max="11" width="17.21875" bestFit="1" customWidth="1"/>
    <col min="12" max="12" width="21.5546875" bestFit="1" customWidth="1"/>
    <col min="13" max="13" width="16.109375" bestFit="1" customWidth="1"/>
    <col min="14" max="14" width="6.5546875" bestFit="1" customWidth="1"/>
  </cols>
  <sheetData>
    <row r="5" spans="5:14" x14ac:dyDescent="0.25">
      <c r="E5" s="1" t="str">
        <f t="array" aca="1" ref="E5:N11" ca="1">_xll.getJqProps()</f>
        <v>BizDayAdjust</v>
      </c>
      <c r="F5" s="1" t="str">
        <f ca="1"/>
        <v>Currency</v>
      </c>
      <c r="G5" s="1" t="str">
        <f ca="1"/>
        <v>DayCountType</v>
      </c>
      <c r="H5" s="1" t="str">
        <f ca="1"/>
        <v>Frequency</v>
      </c>
      <c r="I5" s="1" t="str">
        <f ca="1"/>
        <v>OptionDirection</v>
      </c>
      <c r="J5" s="1" t="str">
        <f ca="1"/>
        <v>Stub</v>
      </c>
      <c r="K5" s="1" t="str">
        <f ca="1"/>
        <v>TradeLabel</v>
      </c>
      <c r="L5" s="1" t="str">
        <f ca="1"/>
        <v>TradeType</v>
      </c>
      <c r="M5" s="1" t="str">
        <f ca="1"/>
        <v>ValuationModel</v>
      </c>
      <c r="N5" s="1" t="str">
        <f ca="1"/>
        <v>Venue</v>
      </c>
    </row>
    <row r="6" spans="5:14" x14ac:dyDescent="0.25">
      <c r="E6" t="str">
        <f ca="1"/>
        <v>None</v>
      </c>
      <c r="F6" t="str">
        <f ca="1"/>
        <v>Cny</v>
      </c>
      <c r="G6" t="str">
        <f ca="1"/>
        <v>Act360</v>
      </c>
      <c r="H6" t="str">
        <f ca="1"/>
        <v>Continuous</v>
      </c>
      <c r="I6" t="str">
        <f ca="1"/>
        <v>Call</v>
      </c>
      <c r="J6" t="str">
        <f ca="1"/>
        <v>ShortStart</v>
      </c>
      <c r="K6" t="str">
        <f ca="1"/>
        <v>TradeType</v>
      </c>
      <c r="L6" t="str">
        <f ca="1"/>
        <v>VanillaOption</v>
      </c>
      <c r="M6" t="str">
        <f ca="1"/>
        <v>Analytical</v>
      </c>
      <c r="N6" t="str">
        <f ca="1"/>
        <v>ShExg</v>
      </c>
    </row>
    <row r="7" spans="5:14" x14ac:dyDescent="0.25">
      <c r="E7" t="str">
        <f ca="1"/>
        <v>Following</v>
      </c>
      <c r="F7" t="str">
        <f ca="1"/>
        <v/>
      </c>
      <c r="G7" t="str">
        <f ca="1"/>
        <v>Act365</v>
      </c>
      <c r="H7" t="str">
        <f ca="1"/>
        <v>Monthly</v>
      </c>
      <c r="I7" t="str">
        <f ca="1"/>
        <v>Put</v>
      </c>
      <c r="J7" t="str">
        <f ca="1"/>
        <v>ShortEnd</v>
      </c>
      <c r="K7" t="str">
        <f ca="1"/>
        <v>StartDate</v>
      </c>
      <c r="L7" t="str">
        <f ca="1"/>
        <v>AsianOption</v>
      </c>
      <c r="M7" t="str">
        <f ca="1"/>
        <v>MonteCarlo</v>
      </c>
      <c r="N7" t="str">
        <f ca="1"/>
        <v>SzExg</v>
      </c>
    </row>
    <row r="8" spans="5:14" x14ac:dyDescent="0.25">
      <c r="E8" t="str">
        <f ca="1"/>
        <v>ModifiedFollowing</v>
      </c>
      <c r="F8" t="str">
        <f ca="1"/>
        <v/>
      </c>
      <c r="G8" t="str">
        <f ca="1"/>
        <v>ActAct</v>
      </c>
      <c r="H8" t="str">
        <f ca="1"/>
        <v>Quarterly</v>
      </c>
      <c r="I8" t="str">
        <f ca="1"/>
        <v/>
      </c>
      <c r="J8" t="str">
        <f ca="1"/>
        <v>LongStart</v>
      </c>
      <c r="K8" t="str">
        <f ca="1"/>
        <v>MaturityDate</v>
      </c>
      <c r="L8" t="str">
        <f ca="1"/>
        <v>DoubleBarrierOption</v>
      </c>
      <c r="M8" t="str">
        <f ca="1"/>
        <v/>
      </c>
      <c r="N8" t="str">
        <f ca="1"/>
        <v>Cib</v>
      </c>
    </row>
    <row r="9" spans="5:14" x14ac:dyDescent="0.25">
      <c r="E9" t="str">
        <f ca="1"/>
        <v>Previous</v>
      </c>
      <c r="F9" t="str">
        <f ca="1"/>
        <v/>
      </c>
      <c r="G9" t="str">
        <f ca="1"/>
        <v/>
      </c>
      <c r="H9" t="str">
        <f ca="1"/>
        <v>SemiAnnual</v>
      </c>
      <c r="I9" t="str">
        <f ca="1"/>
        <v/>
      </c>
      <c r="J9" t="str">
        <f ca="1"/>
        <v>LongEnd</v>
      </c>
      <c r="K9" t="str">
        <f ca="1"/>
        <v>Notional</v>
      </c>
      <c r="L9" t="str">
        <f ca="1"/>
        <v>KnockOutOption</v>
      </c>
      <c r="M9" t="str">
        <f ca="1"/>
        <v/>
      </c>
      <c r="N9" t="str">
        <f ca="1"/>
        <v>Otc</v>
      </c>
    </row>
    <row r="10" spans="5:14" x14ac:dyDescent="0.25">
      <c r="E10" t="str">
        <f ca="1"/>
        <v>ModifiedPrevious</v>
      </c>
      <c r="F10" t="str">
        <f ca="1"/>
        <v/>
      </c>
      <c r="G10" t="str">
        <f ca="1"/>
        <v/>
      </c>
      <c r="H10" t="str">
        <f ca="1"/>
        <v>Annually</v>
      </c>
      <c r="I10" t="str">
        <f ca="1"/>
        <v/>
      </c>
      <c r="J10" t="str">
        <f ca="1"/>
        <v/>
      </c>
      <c r="K10" t="str">
        <f ca="1"/>
        <v>UnderlyingTicker</v>
      </c>
      <c r="L10" t="str">
        <f ca="1"/>
        <v>RangeAccrual</v>
      </c>
      <c r="M10" t="str">
        <f ca="1"/>
        <v/>
      </c>
      <c r="N10" t="str">
        <f ca="1"/>
        <v/>
      </c>
    </row>
    <row r="11" spans="5:14" x14ac:dyDescent="0.25">
      <c r="E11" t="str">
        <f ca="1"/>
        <v/>
      </c>
      <c r="F11" t="str">
        <f ca="1"/>
        <v/>
      </c>
      <c r="G11" t="str">
        <f ca="1"/>
        <v/>
      </c>
      <c r="H11" t="str">
        <f ca="1"/>
        <v/>
      </c>
      <c r="I11" t="str">
        <f ca="1"/>
        <v/>
      </c>
      <c r="J11" t="str">
        <f ca="1"/>
        <v/>
      </c>
      <c r="K11" t="str">
        <f ca="1"/>
        <v>ValuationModel</v>
      </c>
      <c r="L11" t="str">
        <f ca="1"/>
        <v/>
      </c>
      <c r="M11" t="str">
        <f ca="1"/>
        <v/>
      </c>
      <c r="N11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10</vt:i4>
      </vt:variant>
    </vt:vector>
  </HeadingPairs>
  <TitlesOfParts>
    <vt:vector size="12" baseType="lpstr">
      <vt:lpstr>main</vt:lpstr>
      <vt:lpstr>referenceData</vt:lpstr>
      <vt:lpstr>BusinessDayConvention</vt:lpstr>
      <vt:lpstr>Currency</vt:lpstr>
      <vt:lpstr>DayCount</vt:lpstr>
      <vt:lpstr>Frequency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ZSW007</cp:lastModifiedBy>
  <cp:lastPrinted>2019-02-15T07:30:51Z</cp:lastPrinted>
  <dcterms:created xsi:type="dcterms:W3CDTF">2019-01-17T01:15:30Z</dcterms:created>
  <dcterms:modified xsi:type="dcterms:W3CDTF">2019-04-24T08:43:41Z</dcterms:modified>
</cp:coreProperties>
</file>