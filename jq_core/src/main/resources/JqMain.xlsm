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SW007\Desktop\"/>
    </mc:Choice>
  </mc:AlternateContent>
  <bookViews>
    <workbookView xWindow="0" yWindow="0" windowWidth="30720" windowHeight="13104"/>
  </bookViews>
  <sheets>
    <sheet name="main" sheetId="1" r:id="rId1"/>
    <sheet name="referenceData" sheetId="2" r:id="rId2"/>
    <sheet name="templateTradeData" sheetId="3" r:id="rId3"/>
  </sheets>
  <functionGroups builtInGroupCount="18"/>
  <definedNames>
    <definedName name="BusinessDayConvention">referenceData!$A$2:$A$6</definedName>
    <definedName name="Currency">referenceData!$B$2</definedName>
    <definedName name="DayCount">referenceData!$C$2:$C$4</definedName>
    <definedName name="Frequency">referenceData!$D$2:$D$6</definedName>
    <definedName name="MktDataType">referenceData!$K$2:$K$4</definedName>
    <definedName name="OptionDirection">referenceData!$E$2:$E$3</definedName>
    <definedName name="Stub">referenceData!$F$2:$F$5</definedName>
    <definedName name="TradeLabel">referenceData!$G$2:$G$7</definedName>
    <definedName name="TradeType">referenceData!$H$2:$H$5</definedName>
    <definedName name="ValuationModel">referenceData!$I$2:$I$3</definedName>
    <definedName name="Venue">referenceData!$J$2:$J$5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  <c r="F8" i="1" a="1"/>
  <c r="A1" i="3" a="1"/>
  <c r="F12" i="1" l="1"/>
  <c r="F13" i="1"/>
  <c r="F8" i="1"/>
  <c r="F9" i="1"/>
  <c r="F10" i="1"/>
  <c r="F11" i="1"/>
  <c r="A2" i="3"/>
  <c r="C3" i="3"/>
  <c r="A5" i="3"/>
  <c r="C6" i="3"/>
  <c r="A8" i="3"/>
  <c r="C9" i="3"/>
  <c r="A11" i="3"/>
  <c r="C12" i="3"/>
  <c r="A14" i="3"/>
  <c r="C15" i="3"/>
  <c r="B2" i="3"/>
  <c r="D3" i="3"/>
  <c r="B5" i="3"/>
  <c r="D6" i="3"/>
  <c r="B8" i="3"/>
  <c r="D9" i="3"/>
  <c r="B11" i="3"/>
  <c r="D12" i="3"/>
  <c r="B14" i="3"/>
  <c r="D15" i="3"/>
  <c r="A1" i="3"/>
  <c r="C2" i="3"/>
  <c r="A4" i="3"/>
  <c r="C5" i="3"/>
  <c r="A7" i="3"/>
  <c r="C8" i="3"/>
  <c r="A10" i="3"/>
  <c r="C11" i="3"/>
  <c r="A13" i="3"/>
  <c r="C14" i="3"/>
  <c r="B1" i="3"/>
  <c r="D2" i="3"/>
  <c r="B4" i="3"/>
  <c r="D5" i="3"/>
  <c r="B7" i="3"/>
  <c r="D8" i="3"/>
  <c r="B10" i="3"/>
  <c r="D11" i="3"/>
  <c r="B13" i="3"/>
  <c r="D14" i="3"/>
  <c r="C1" i="3"/>
  <c r="A3" i="3"/>
  <c r="C4" i="3"/>
  <c r="A6" i="3"/>
  <c r="C7" i="3"/>
  <c r="A9" i="3"/>
  <c r="C10" i="3"/>
  <c r="A12" i="3"/>
  <c r="C13" i="3"/>
  <c r="A15" i="3"/>
  <c r="D1" i="3"/>
  <c r="B3" i="3"/>
  <c r="D4" i="3"/>
  <c r="B6" i="3"/>
  <c r="D7" i="3"/>
  <c r="B9" i="3"/>
  <c r="D10" i="3"/>
  <c r="B12" i="3"/>
  <c r="D13" i="3"/>
  <c r="B15" i="3"/>
  <c r="A1" i="2" a="1"/>
  <c r="R3" i="1" a="1"/>
  <c r="E1" i="2" l="1"/>
  <c r="K1" i="2"/>
  <c r="F2" i="2"/>
  <c r="A3" i="2"/>
  <c r="G3" i="2"/>
  <c r="B4" i="2"/>
  <c r="H4" i="2"/>
  <c r="C5" i="2"/>
  <c r="I5" i="2"/>
  <c r="D6" i="2"/>
  <c r="J6" i="2"/>
  <c r="E7" i="2"/>
  <c r="K7" i="2"/>
  <c r="F1" i="2"/>
  <c r="A2" i="2"/>
  <c r="G2" i="2"/>
  <c r="B3" i="2"/>
  <c r="H3" i="2"/>
  <c r="C4" i="2"/>
  <c r="I4" i="2"/>
  <c r="D5" i="2"/>
  <c r="J5" i="2"/>
  <c r="E6" i="2"/>
  <c r="K6" i="2"/>
  <c r="F7" i="2"/>
  <c r="A1" i="2"/>
  <c r="G1" i="2"/>
  <c r="B2" i="2"/>
  <c r="H2" i="2"/>
  <c r="C3" i="2"/>
  <c r="I3" i="2"/>
  <c r="D4" i="2"/>
  <c r="J4" i="2"/>
  <c r="E5" i="2"/>
  <c r="K5" i="2"/>
  <c r="F6" i="2"/>
  <c r="A7" i="2"/>
  <c r="G7" i="2"/>
  <c r="B1" i="2"/>
  <c r="H1" i="2"/>
  <c r="C2" i="2"/>
  <c r="I2" i="2"/>
  <c r="D3" i="2"/>
  <c r="J3" i="2"/>
  <c r="E4" i="2"/>
  <c r="K4" i="2"/>
  <c r="F5" i="2"/>
  <c r="A6" i="2"/>
  <c r="G6" i="2"/>
  <c r="B7" i="2"/>
  <c r="H7" i="2"/>
  <c r="C1" i="2"/>
  <c r="I1" i="2"/>
  <c r="D2" i="2"/>
  <c r="J2" i="2"/>
  <c r="E3" i="2"/>
  <c r="K3" i="2"/>
  <c r="F4" i="2"/>
  <c r="A5" i="2"/>
  <c r="G5" i="2"/>
  <c r="B6" i="2"/>
  <c r="H6" i="2"/>
  <c r="C7" i="2"/>
  <c r="I7" i="2"/>
  <c r="D1" i="2"/>
  <c r="J1" i="2"/>
  <c r="E2" i="2"/>
  <c r="K2" i="2"/>
  <c r="F3" i="2"/>
  <c r="A4" i="2"/>
  <c r="G4" i="2"/>
  <c r="B5" i="2"/>
  <c r="H5" i="2"/>
  <c r="C6" i="2"/>
  <c r="I6" i="2"/>
  <c r="D7" i="2"/>
  <c r="J7" i="2"/>
  <c r="S6" i="1"/>
  <c r="S18" i="1"/>
  <c r="S30" i="1"/>
  <c r="S42" i="1"/>
  <c r="S54" i="1"/>
  <c r="S66" i="1"/>
  <c r="S78" i="1"/>
  <c r="S90" i="1"/>
  <c r="S102" i="1"/>
  <c r="R13" i="1"/>
  <c r="R25" i="1"/>
  <c r="R37" i="1"/>
  <c r="R49" i="1"/>
  <c r="R61" i="1"/>
  <c r="S7" i="1"/>
  <c r="S31" i="1"/>
  <c r="S55" i="1"/>
  <c r="R76" i="1"/>
  <c r="R92" i="1"/>
  <c r="R16" i="1"/>
  <c r="R40" i="1"/>
  <c r="R64" i="1"/>
  <c r="R82" i="1"/>
  <c r="R98" i="1"/>
  <c r="S5" i="1"/>
  <c r="S29" i="1"/>
  <c r="S53" i="1"/>
  <c r="R75" i="1"/>
  <c r="R91" i="1"/>
  <c r="R10" i="1"/>
  <c r="R34" i="1"/>
  <c r="R58" i="1"/>
  <c r="R78" i="1"/>
  <c r="R102" i="1"/>
  <c r="S8" i="1"/>
  <c r="S20" i="1"/>
  <c r="S32" i="1"/>
  <c r="S44" i="1"/>
  <c r="S56" i="1"/>
  <c r="S68" i="1"/>
  <c r="S80" i="1"/>
  <c r="S92" i="1"/>
  <c r="R3" i="1"/>
  <c r="R15" i="1"/>
  <c r="R27" i="1"/>
  <c r="R39" i="1"/>
  <c r="R51" i="1"/>
  <c r="R63" i="1"/>
  <c r="S11" i="1"/>
  <c r="S35" i="1"/>
  <c r="S59" i="1"/>
  <c r="R79" i="1"/>
  <c r="R95" i="1"/>
  <c r="R20" i="1"/>
  <c r="R44" i="1"/>
  <c r="S4" i="1"/>
  <c r="S24" i="1"/>
  <c r="S40" i="1"/>
  <c r="S60" i="1"/>
  <c r="S76" i="1"/>
  <c r="S96" i="1"/>
  <c r="R11" i="1"/>
  <c r="R31" i="1"/>
  <c r="R47" i="1"/>
  <c r="R67" i="1"/>
  <c r="S27" i="1"/>
  <c r="S67" i="1"/>
  <c r="S89" i="1"/>
  <c r="R28" i="1"/>
  <c r="R60" i="1"/>
  <c r="R85" i="1"/>
  <c r="S83" i="1"/>
  <c r="S17" i="1"/>
  <c r="S45" i="1"/>
  <c r="R72" i="1"/>
  <c r="S93" i="1"/>
  <c r="R18" i="1"/>
  <c r="R46" i="1"/>
  <c r="R73" i="1"/>
  <c r="S99" i="1"/>
  <c r="R53" i="1"/>
  <c r="R71" i="1"/>
  <c r="S97" i="1"/>
  <c r="R68" i="1"/>
  <c r="S87" i="1"/>
  <c r="R89" i="1"/>
  <c r="S49" i="1"/>
  <c r="S77" i="1"/>
  <c r="R22" i="1"/>
  <c r="R50" i="1"/>
  <c r="S75" i="1"/>
  <c r="S14" i="1"/>
  <c r="S86" i="1"/>
  <c r="R41" i="1"/>
  <c r="S47" i="1"/>
  <c r="R8" i="1"/>
  <c r="R93" i="1"/>
  <c r="S61" i="1"/>
  <c r="R62" i="1"/>
  <c r="S16" i="1"/>
  <c r="R7" i="1"/>
  <c r="S19" i="1"/>
  <c r="R12" i="1"/>
  <c r="S95" i="1"/>
  <c r="S65" i="1"/>
  <c r="S91" i="1"/>
  <c r="S58" i="1"/>
  <c r="R29" i="1"/>
  <c r="S63" i="1"/>
  <c r="R101" i="1"/>
  <c r="R88" i="1"/>
  <c r="R94" i="1"/>
  <c r="S10" i="1"/>
  <c r="S26" i="1"/>
  <c r="S46" i="1"/>
  <c r="S62" i="1"/>
  <c r="S82" i="1"/>
  <c r="S98" i="1"/>
  <c r="R17" i="1"/>
  <c r="R33" i="1"/>
  <c r="R69" i="1"/>
  <c r="S39" i="1"/>
  <c r="R32" i="1"/>
  <c r="S21" i="1"/>
  <c r="R96" i="1"/>
  <c r="S34" i="1"/>
  <c r="S70" i="1"/>
  <c r="R21" i="1"/>
  <c r="S15" i="1"/>
  <c r="R48" i="1"/>
  <c r="R4" i="1"/>
  <c r="R83" i="1"/>
  <c r="R30" i="1"/>
  <c r="S52" i="1"/>
  <c r="S88" i="1"/>
  <c r="R43" i="1"/>
  <c r="R84" i="1"/>
  <c r="R77" i="1"/>
  <c r="S85" i="1"/>
  <c r="R66" i="1"/>
  <c r="S22" i="1"/>
  <c r="S94" i="1"/>
  <c r="R45" i="1"/>
  <c r="R87" i="1"/>
  <c r="S79" i="1"/>
  <c r="S69" i="1"/>
  <c r="R42" i="1"/>
  <c r="S12" i="1"/>
  <c r="S28" i="1"/>
  <c r="S48" i="1"/>
  <c r="S64" i="1"/>
  <c r="S84" i="1"/>
  <c r="S100" i="1"/>
  <c r="R19" i="1"/>
  <c r="R35" i="1"/>
  <c r="R55" i="1"/>
  <c r="S3" i="1"/>
  <c r="S43" i="1"/>
  <c r="S73" i="1"/>
  <c r="R100" i="1"/>
  <c r="R36" i="1"/>
  <c r="S71" i="1"/>
  <c r="R90" i="1"/>
  <c r="R97" i="1"/>
  <c r="S25" i="1"/>
  <c r="S57" i="1"/>
  <c r="R80" i="1"/>
  <c r="R99" i="1"/>
  <c r="R26" i="1"/>
  <c r="R54" i="1"/>
  <c r="R81" i="1"/>
  <c r="S50" i="1"/>
  <c r="R5" i="1"/>
  <c r="R57" i="1"/>
  <c r="S81" i="1"/>
  <c r="R74" i="1"/>
  <c r="S33" i="1"/>
  <c r="S101" i="1"/>
  <c r="S36" i="1"/>
  <c r="S72" i="1"/>
  <c r="R23" i="1"/>
  <c r="S51" i="1"/>
  <c r="R52" i="1"/>
  <c r="S37" i="1"/>
  <c r="R6" i="1"/>
  <c r="S38" i="1"/>
  <c r="R9" i="1"/>
  <c r="S23" i="1"/>
  <c r="R56" i="1"/>
  <c r="S41" i="1"/>
  <c r="R70" i="1"/>
  <c r="R86" i="1"/>
  <c r="R59" i="1"/>
  <c r="S9" i="1"/>
  <c r="R38" i="1"/>
  <c r="S74" i="1"/>
  <c r="R65" i="1"/>
  <c r="R24" i="1"/>
  <c r="S13" i="1"/>
  <c r="R14" i="1"/>
</calcChain>
</file>

<file path=xl/sharedStrings.xml><?xml version="1.0" encoding="utf-8"?>
<sst xmlns="http://schemas.openxmlformats.org/spreadsheetml/2006/main" count="46" uniqueCount="45">
  <si>
    <t>Label</t>
    <phoneticPr fontId="1" type="noConversion"/>
  </si>
  <si>
    <t>Value</t>
    <phoneticPr fontId="1" type="noConversion"/>
  </si>
  <si>
    <t>tradeType</t>
    <phoneticPr fontId="1" type="noConversion"/>
  </si>
  <si>
    <t>VanillaOption</t>
  </si>
  <si>
    <t>RiskfreeRate</t>
  </si>
  <si>
    <t>DividendRate</t>
  </si>
  <si>
    <t>S0</t>
  </si>
  <si>
    <t>Vol</t>
  </si>
  <si>
    <t/>
  </si>
  <si>
    <t>PayOff</t>
    <phoneticPr fontId="1" type="noConversion"/>
  </si>
  <si>
    <t>Price</t>
    <phoneticPr fontId="1" type="noConversion"/>
  </si>
  <si>
    <t>MktDate</t>
  </si>
  <si>
    <t>PV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</si>
  <si>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</si>
  <si>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</si>
  <si>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</si>
  <si>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Rho</t>
    <phoneticPr fontId="1" type="noConversion"/>
  </si>
  <si>
    <t>Theta</t>
    <phoneticPr fontId="1" type="noConversion"/>
  </si>
  <si>
    <t>startDate</t>
    <phoneticPr fontId="1" type="noConversion"/>
  </si>
  <si>
    <t>2019-05-16</t>
    <phoneticPr fontId="1" type="noConversion"/>
  </si>
  <si>
    <t>计算结果</t>
    <phoneticPr fontId="1" type="noConversion"/>
  </si>
  <si>
    <t>2020-05-16</t>
    <phoneticPr fontId="1" type="noConversion"/>
  </si>
  <si>
    <t>Put</t>
  </si>
  <si>
    <t>maturityDate</t>
    <phoneticPr fontId="1" type="noConversion"/>
  </si>
  <si>
    <t>2020-05-16</t>
    <phoneticPr fontId="1" type="noConversion"/>
  </si>
  <si>
    <t>notional</t>
    <phoneticPr fontId="1" type="noConversion"/>
  </si>
  <si>
    <t>1.0</t>
    <phoneticPr fontId="1" type="noConversion"/>
  </si>
  <si>
    <t>optionDirection</t>
    <phoneticPr fontId="1" type="noConversion"/>
  </si>
  <si>
    <t>underlyingTicker</t>
    <phoneticPr fontId="1" type="noConversion"/>
  </si>
  <si>
    <t>SH000300</t>
    <phoneticPr fontId="1" type="noConversion"/>
  </si>
  <si>
    <t>exerciseDates</t>
    <phoneticPr fontId="1" type="noConversion"/>
  </si>
  <si>
    <t>observeDates</t>
    <phoneticPr fontId="1" type="noConversion"/>
  </si>
  <si>
    <t>strike</t>
    <phoneticPr fontId="1" type="noConversion"/>
  </si>
  <si>
    <t>1000.0</t>
    <phoneticPr fontId="1" type="noConversion"/>
  </si>
  <si>
    <t>dayCount</t>
    <phoneticPr fontId="1" type="noConversion"/>
  </si>
  <si>
    <t>Act365</t>
    <phoneticPr fontId="1" type="noConversion"/>
  </si>
  <si>
    <t>domCurrency</t>
    <phoneticPr fontId="1" type="noConversion"/>
  </si>
  <si>
    <t>Cny</t>
    <phoneticPr fontId="1" type="noConversion"/>
  </si>
  <si>
    <t>fgnCurrency</t>
    <phoneticPr fontId="1" type="noConversion"/>
  </si>
  <si>
    <t>valuationModel</t>
    <phoneticPr fontId="1" type="noConversion"/>
  </si>
  <si>
    <t>Analytical</t>
    <phoneticPr fontId="1" type="noConversion"/>
  </si>
  <si>
    <t>numPath</t>
    <phoneticPr fontId="1" type="noConversion"/>
  </si>
  <si>
    <t>5000</t>
    <phoneticPr fontId="1" type="noConversion"/>
  </si>
  <si>
    <t>calcMcGreeks</t>
    <phoneticPr fontId="1" type="noConversion"/>
  </si>
  <si>
    <t>false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</si>
</sst>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9" formatCode="yyyy\-mm\-dd"/>
    <numFmt numFmtId="180" formatCode="0.0000_ 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49" fontId="0" fillId="0" borderId="4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0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18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main!$S$2</c:f>
              <c:strCache>
                <c:ptCount val="1"/>
                <c:pt idx="0">
                  <c:v>PayOff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main!$R$3:$R$100</c:f>
              <c:numCache>
                <c:formatCode>General</c:formatCode>
                <c:ptCount val="98"/>
                <c:pt idx="0">
                  <c:v>800</c:v>
                </c:pt>
                <c:pt idx="1">
                  <c:v>810</c:v>
                </c:pt>
                <c:pt idx="2">
                  <c:v>820</c:v>
                </c:pt>
                <c:pt idx="3">
                  <c:v>830</c:v>
                </c:pt>
                <c:pt idx="4">
                  <c:v>840</c:v>
                </c:pt>
                <c:pt idx="5">
                  <c:v>850</c:v>
                </c:pt>
                <c:pt idx="6">
                  <c:v>860</c:v>
                </c:pt>
                <c:pt idx="7">
                  <c:v>870</c:v>
                </c:pt>
                <c:pt idx="8">
                  <c:v>880</c:v>
                </c:pt>
                <c:pt idx="9">
                  <c:v>890</c:v>
                </c:pt>
                <c:pt idx="10">
                  <c:v>900</c:v>
                </c:pt>
                <c:pt idx="11">
                  <c:v>910</c:v>
                </c:pt>
                <c:pt idx="12">
                  <c:v>920</c:v>
                </c:pt>
                <c:pt idx="13">
                  <c:v>930</c:v>
                </c:pt>
                <c:pt idx="14">
                  <c:v>940</c:v>
                </c:pt>
                <c:pt idx="15">
                  <c:v>950</c:v>
                </c:pt>
                <c:pt idx="16">
                  <c:v>960</c:v>
                </c:pt>
                <c:pt idx="17">
                  <c:v>970</c:v>
                </c:pt>
                <c:pt idx="18">
                  <c:v>980</c:v>
                </c:pt>
                <c:pt idx="19">
                  <c:v>990</c:v>
                </c:pt>
                <c:pt idx="20">
                  <c:v>1000</c:v>
                </c:pt>
                <c:pt idx="21">
                  <c:v>1010</c:v>
                </c:pt>
                <c:pt idx="22">
                  <c:v>1020</c:v>
                </c:pt>
                <c:pt idx="23">
                  <c:v>1030</c:v>
                </c:pt>
                <c:pt idx="24">
                  <c:v>1040</c:v>
                </c:pt>
                <c:pt idx="25">
                  <c:v>1050</c:v>
                </c:pt>
                <c:pt idx="26">
                  <c:v>1060</c:v>
                </c:pt>
                <c:pt idx="27">
                  <c:v>1070</c:v>
                </c:pt>
                <c:pt idx="28">
                  <c:v>1080</c:v>
                </c:pt>
                <c:pt idx="29">
                  <c:v>1090</c:v>
                </c:pt>
                <c:pt idx="30">
                  <c:v>1100</c:v>
                </c:pt>
                <c:pt idx="31">
                  <c:v>1110</c:v>
                </c:pt>
                <c:pt idx="32">
                  <c:v>1120</c:v>
                </c:pt>
                <c:pt idx="33">
                  <c:v>1130</c:v>
                </c:pt>
                <c:pt idx="34">
                  <c:v>1140</c:v>
                </c:pt>
                <c:pt idx="35">
                  <c:v>1150</c:v>
                </c:pt>
                <c:pt idx="36">
                  <c:v>1160</c:v>
                </c:pt>
                <c:pt idx="37">
                  <c:v>1170</c:v>
                </c:pt>
                <c:pt idx="38">
                  <c:v>1180</c:v>
                </c:pt>
                <c:pt idx="39">
                  <c:v>1190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xVal>
          <c:yVal>
            <c:numRef>
              <c:f>main!$S$3:$S$100</c:f>
              <c:numCache>
                <c:formatCode>General</c:formatCode>
                <c:ptCount val="98"/>
                <c:pt idx="0">
                  <c:v>200</c:v>
                </c:pt>
                <c:pt idx="1">
                  <c:v>190</c:v>
                </c:pt>
                <c:pt idx="2">
                  <c:v>180</c:v>
                </c:pt>
                <c:pt idx="3">
                  <c:v>170</c:v>
                </c:pt>
                <c:pt idx="4">
                  <c:v>160</c:v>
                </c:pt>
                <c:pt idx="5">
                  <c:v>150</c:v>
                </c:pt>
                <c:pt idx="6">
                  <c:v>140</c:v>
                </c:pt>
                <c:pt idx="7">
                  <c:v>130</c:v>
                </c:pt>
                <c:pt idx="8">
                  <c:v>120</c:v>
                </c:pt>
                <c:pt idx="9">
                  <c:v>110</c:v>
                </c:pt>
                <c:pt idx="10">
                  <c:v>100</c:v>
                </c:pt>
                <c:pt idx="11">
                  <c:v>90</c:v>
                </c:pt>
                <c:pt idx="12">
                  <c:v>80</c:v>
                </c:pt>
                <c:pt idx="13">
                  <c:v>70</c:v>
                </c:pt>
                <c:pt idx="14">
                  <c:v>60</c:v>
                </c:pt>
                <c:pt idx="15">
                  <c:v>50</c:v>
                </c:pt>
                <c:pt idx="16">
                  <c:v>40</c:v>
                </c:pt>
                <c:pt idx="17">
                  <c:v>30</c:v>
                </c:pt>
                <c:pt idx="18">
                  <c:v>20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21896"/>
        <c:axId val="301615232"/>
      </c:scatterChart>
      <c:valAx>
        <c:axId val="30162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615232"/>
        <c:crosses val="autoZero"/>
        <c:crossBetween val="midCat"/>
      </c:valAx>
      <c:valAx>
        <c:axId val="30161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621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606425</xdr:colOff>
      <xdr:row>15</xdr:row>
      <xdr:rowOff>92075</xdr:rowOff>
    </xdr:from>
    <xdr:to>
      <xdr:col>10</xdr:col>
      <xdr:colOff>542925</xdr:colOff>
      <xdr:row>30</xdr:row>
      <xdr:rowOff>168275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S102"/>
  <sheetViews>
    <sheetView tabSelected="1" workbookViewId="0">
      <selection activeCell="H13" sqref="H13"/>
    </sheetView>
  </sheetViews>
  <sheetFormatPr defaultRowHeight="14.4" x14ac:dyDescent="0.25"/>
  <cols>
    <col min="1" max="1" width="17.21875" bestFit="1" customWidth="1"/>
    <col min="2" max="2" width="15" bestFit="1" customWidth="1"/>
    <col min="5" max="5" width="13.5546875" bestFit="1" customWidth="1"/>
    <col min="6" max="6" width="14.5546875" customWidth="1"/>
    <col min="7" max="7" width="9.77734375" customWidth="1"/>
    <col min="14" max="14" width="9.21875" bestFit="1" customWidth="1"/>
  </cols>
  <sheetData>
    <row r="1" spans="1:19" x14ac:dyDescent="0.25">
      <c r="A1" s="2" t="s">
        <v>0</v>
      </c>
      <c r="B1" s="3" t="s">
        <v>1</v>
      </c>
      <c r="E1" t="s">
        <v>11</v>
      </c>
      <c r="F1" s="9" t="str">
        <f>B3</f>
        <v>2019-05-16</v>
      </c>
    </row>
    <row r="2" spans="1:19" x14ac:dyDescent="0.25">
      <c r="A2" s="4" t="s">
        <v>2</v>
      </c>
      <c r="B2" s="6" t="s">
        <v>3</v>
      </c>
      <c r="E2" t="s">
        <v>4</v>
      </c>
      <c r="F2">
        <v>0.05</v>
      </c>
      <c r="R2" t="s">
        <v>10</v>
      </c>
      <c r="S2" t="s">
        <v>9</v>
      </c>
    </row>
    <row r="3" spans="1:19" x14ac:dyDescent="0.25">
      <c r="A3" s="4" t="s">
        <v>18</v>
      </c>
      <c r="B3" s="6" t="s">
        <v>19</v>
      </c>
      <c r="E3" t="s">
        <v>5</v>
      </c>
      <c r="F3">
        <v>1.4999999999999999E-2</v>
      </c>
      <c r="N3" s="8"/>
      <c r="O3" s="8"/>
      <c r="R3">
        <f t="array" aca="1" ref="R3:S102" ca="1">_xll.jqOptionPayoff(A2:B12)</f>
        <v>800</v>
      </c>
      <c r="S3">
        <f ca="1"/>
        <v>200</v>
      </c>
    </row>
    <row r="4" spans="1:19" x14ac:dyDescent="0.25">
      <c r="A4" s="4" t="s">
        <v>23</v>
      </c>
      <c r="B4" s="6" t="s">
        <v>24</v>
      </c>
      <c r="E4" t="s">
        <v>6</v>
      </c>
      <c r="F4">
        <v>950.75</v>
      </c>
      <c r="N4" s="8"/>
      <c r="O4" s="8"/>
      <c r="R4">
        <f ca="1"/>
        <v>810</v>
      </c>
      <c r="S4">
        <f ca="1"/>
        <v>190</v>
      </c>
    </row>
    <row r="5" spans="1:19" x14ac:dyDescent="0.25">
      <c r="A5" s="4" t="s">
        <v>25</v>
      </c>
      <c r="B5" s="6" t="s">
        <v>26</v>
      </c>
      <c r="E5" t="s">
        <v>7</v>
      </c>
      <c r="F5">
        <v>0.3</v>
      </c>
      <c r="N5" s="8"/>
      <c r="O5" s="8"/>
      <c r="R5">
        <f ca="1"/>
        <v>820</v>
      </c>
      <c r="S5">
        <f ca="1"/>
        <v>180</v>
      </c>
    </row>
    <row r="6" spans="1:19" x14ac:dyDescent="0.25">
      <c r="A6" s="4" t="s">
        <v>27</v>
      </c>
      <c r="B6" s="6" t="s">
        <v>22</v>
      </c>
      <c r="N6" s="8"/>
      <c r="O6" s="8"/>
      <c r="R6">
        <f ca="1"/>
        <v>830</v>
      </c>
      <c r="S6">
        <f ca="1"/>
        <v>170</v>
      </c>
    </row>
    <row r="7" spans="1:19" x14ac:dyDescent="0.25">
      <c r="A7" s="4" t="s">
        <v>28</v>
      </c>
      <c r="B7" s="6" t="s">
        <v>29</v>
      </c>
      <c r="F7" s="11" t="s">
        <v>20</v>
      </c>
      <c r="G7" s="11"/>
      <c r="N7" s="8"/>
      <c r="O7" s="8"/>
      <c r="R7">
        <f ca="1"/>
        <v>840</v>
      </c>
      <c r="S7">
        <f ca="1"/>
        <v>160</v>
      </c>
    </row>
    <row r="8" spans="1:19" x14ac:dyDescent="0.25">
      <c r="A8" s="4" t="s">
        <v>30</v>
      </c>
      <c r="B8" s="6" t="s">
        <v>24</v>
      </c>
      <c r="E8" t="s">
        <v>12</v>
      </c>
      <c r="F8" s="10">
        <f t="array" aca="1" ref="F8:F13" ca="1">_xll.jqXlCalc(A2:B16,E1:F5)</f>
        <v>120.10888724913958</v>
      </c>
      <c r="G8" s="10"/>
      <c r="N8" s="8"/>
      <c r="O8" s="8"/>
      <c r="R8">
        <f ca="1"/>
        <v>850</v>
      </c>
      <c r="S8">
        <f ca="1"/>
        <v>150</v>
      </c>
    </row>
    <row r="9" spans="1:19" x14ac:dyDescent="0.25">
      <c r="A9" s="4" t="s">
        <v>31</v>
      </c>
      <c r="B9" s="6" t="s">
        <v>21</v>
      </c>
      <c r="E9" t="s">
        <v>13</v>
      </c>
      <c r="F9" s="10">
        <f ca="1"/>
        <v>-0.45372684868567603</v>
      </c>
      <c r="G9" s="10"/>
      <c r="R9">
        <f ca="1"/>
        <v>860</v>
      </c>
      <c r="S9">
        <f ca="1"/>
        <v>140</v>
      </c>
    </row>
    <row r="10" spans="1:19" x14ac:dyDescent="0.25">
      <c r="A10" s="4" t="s">
        <v>32</v>
      </c>
      <c r="B10" s="6" t="s">
        <v>33</v>
      </c>
      <c r="E10" t="s">
        <v>14</v>
      </c>
      <c r="F10" s="10">
        <f ca="1"/>
        <v>1.3692141465071472E-3</v>
      </c>
      <c r="G10" s="10"/>
      <c r="R10">
        <f ca="1"/>
        <v>870</v>
      </c>
      <c r="S10">
        <f ca="1"/>
        <v>130</v>
      </c>
    </row>
    <row r="11" spans="1:19" x14ac:dyDescent="0.25">
      <c r="A11" s="4" t="s">
        <v>34</v>
      </c>
      <c r="B11" s="6" t="s">
        <v>35</v>
      </c>
      <c r="E11" t="s">
        <v>15</v>
      </c>
      <c r="F11" s="10">
        <f ca="1"/>
        <v>3.7231559805053109</v>
      </c>
      <c r="G11" s="10"/>
      <c r="R11">
        <f ca="1"/>
        <v>880</v>
      </c>
      <c r="S11">
        <f ca="1"/>
        <v>120</v>
      </c>
    </row>
    <row r="12" spans="1:19" x14ac:dyDescent="0.25">
      <c r="A12" s="4" t="s">
        <v>36</v>
      </c>
      <c r="B12" s="6" t="s">
        <v>37</v>
      </c>
      <c r="E12" t="s">
        <v>16</v>
      </c>
      <c r="F12" s="10">
        <f ca="1"/>
        <v>-5.5300062294840302E-2</v>
      </c>
      <c r="G12" s="10"/>
      <c r="R12">
        <f ca="1"/>
        <v>890</v>
      </c>
      <c r="S12">
        <f ca="1"/>
        <v>110</v>
      </c>
    </row>
    <row r="13" spans="1:19" x14ac:dyDescent="0.25">
      <c r="A13" s="4" t="s">
        <v>38</v>
      </c>
      <c r="B13" s="6" t="s">
        <v>8</v>
      </c>
      <c r="E13" t="s">
        <v>17</v>
      </c>
      <c r="F13" s="10">
        <f ca="1"/>
        <v>-9.4877688327471787E-2</v>
      </c>
      <c r="G13" s="10"/>
      <c r="R13">
        <f ca="1"/>
        <v>900</v>
      </c>
      <c r="S13">
        <f ca="1"/>
        <v>100</v>
      </c>
    </row>
    <row r="14" spans="1:19" x14ac:dyDescent="0.25">
      <c r="A14" s="4" t="s">
        <v>39</v>
      </c>
      <c r="B14" s="6" t="s">
        <v>40</v>
      </c>
      <c r="R14">
        <f ca="1"/>
        <v>910</v>
      </c>
      <c r="S14">
        <f ca="1"/>
        <v>90</v>
      </c>
    </row>
    <row r="15" spans="1:19" x14ac:dyDescent="0.25">
      <c r="A15" s="4" t="s">
        <v>41</v>
      </c>
      <c r="B15" s="6" t="s">
        <v>42</v>
      </c>
      <c r="N15" s="8"/>
      <c r="O15" s="8"/>
      <c r="R15">
        <f ca="1"/>
        <v>920</v>
      </c>
      <c r="S15">
        <f ca="1"/>
        <v>80</v>
      </c>
    </row>
    <row r="16" spans="1:19" x14ac:dyDescent="0.25">
      <c r="A16" s="4" t="s">
        <v>43</v>
      </c>
      <c r="B16" s="6" t="s">
        <v>44</v>
      </c>
      <c r="N16" s="8"/>
      <c r="O16" s="8"/>
      <c r="R16">
        <f ca="1"/>
        <v>930</v>
      </c>
      <c r="S16">
        <f ca="1"/>
        <v>70</v>
      </c>
    </row>
    <row r="17" spans="1:19" x14ac:dyDescent="0.25">
      <c r="A17" s="4"/>
      <c r="B17" s="6"/>
      <c r="N17" s="8"/>
      <c r="O17" s="8"/>
      <c r="R17">
        <f ca="1"/>
        <v>940</v>
      </c>
      <c r="S17">
        <f ca="1"/>
        <v>60</v>
      </c>
    </row>
    <row r="18" spans="1:19" x14ac:dyDescent="0.25">
      <c r="A18" s="4"/>
      <c r="B18" s="6"/>
      <c r="N18" s="8"/>
      <c r="O18" s="8"/>
      <c r="R18">
        <f ca="1"/>
        <v>950</v>
      </c>
      <c r="S18">
        <f ca="1"/>
        <v>50</v>
      </c>
    </row>
    <row r="19" spans="1:19" x14ac:dyDescent="0.25">
      <c r="A19" s="4"/>
      <c r="B19" s="6"/>
      <c r="N19" s="8"/>
      <c r="O19" s="8"/>
      <c r="R19">
        <f ca="1"/>
        <v>960</v>
      </c>
      <c r="S19">
        <f ca="1"/>
        <v>40</v>
      </c>
    </row>
    <row r="20" spans="1:19" x14ac:dyDescent="0.25">
      <c r="A20" s="4"/>
      <c r="B20" s="6"/>
      <c r="N20" s="8"/>
      <c r="O20" s="8"/>
      <c r="R20">
        <f ca="1"/>
        <v>970</v>
      </c>
      <c r="S20">
        <f ca="1"/>
        <v>30</v>
      </c>
    </row>
    <row r="21" spans="1:19" x14ac:dyDescent="0.25">
      <c r="A21" s="5"/>
      <c r="B21" s="7"/>
      <c r="N21" s="8"/>
      <c r="O21" s="8"/>
      <c r="R21">
        <f ca="1"/>
        <v>980</v>
      </c>
      <c r="S21">
        <f ca="1"/>
        <v>20</v>
      </c>
    </row>
    <row r="22" spans="1:19" x14ac:dyDescent="0.25">
      <c r="N22" s="8"/>
      <c r="O22" s="8"/>
      <c r="R22">
        <f ca="1"/>
        <v>990</v>
      </c>
      <c r="S22">
        <f ca="1"/>
        <v>10</v>
      </c>
    </row>
    <row r="23" spans="1:19" x14ac:dyDescent="0.25">
      <c r="N23" s="8"/>
      <c r="O23" s="8"/>
      <c r="R23">
        <f ca="1"/>
        <v>1000</v>
      </c>
      <c r="S23">
        <f ca="1"/>
        <v>0</v>
      </c>
    </row>
    <row r="24" spans="1:19" x14ac:dyDescent="0.25">
      <c r="N24" s="8"/>
      <c r="O24" s="8"/>
      <c r="R24">
        <f ca="1"/>
        <v>1010</v>
      </c>
      <c r="S24">
        <f ca="1"/>
        <v>0</v>
      </c>
    </row>
    <row r="25" spans="1:19" x14ac:dyDescent="0.25">
      <c r="N25" s="8"/>
      <c r="O25" s="8"/>
      <c r="R25">
        <f ca="1"/>
        <v>1020</v>
      </c>
      <c r="S25">
        <f ca="1"/>
        <v>0</v>
      </c>
    </row>
    <row r="26" spans="1:19" x14ac:dyDescent="0.25">
      <c r="N26" s="8"/>
      <c r="O26" s="8"/>
      <c r="R26">
        <f ca="1"/>
        <v>1030</v>
      </c>
      <c r="S26">
        <f ca="1"/>
        <v>0</v>
      </c>
    </row>
    <row r="27" spans="1:19" x14ac:dyDescent="0.25">
      <c r="N27" s="8"/>
      <c r="O27" s="8"/>
      <c r="R27">
        <f ca="1"/>
        <v>1040</v>
      </c>
      <c r="S27">
        <f ca="1"/>
        <v>0</v>
      </c>
    </row>
    <row r="28" spans="1:19" x14ac:dyDescent="0.25">
      <c r="N28" s="8"/>
      <c r="O28" s="8"/>
      <c r="R28">
        <f ca="1"/>
        <v>1050</v>
      </c>
      <c r="S28">
        <f ca="1"/>
        <v>0</v>
      </c>
    </row>
    <row r="29" spans="1:19" x14ac:dyDescent="0.25">
      <c r="N29" s="8"/>
      <c r="O29" s="8"/>
      <c r="R29">
        <f ca="1"/>
        <v>1060</v>
      </c>
      <c r="S29">
        <f ca="1"/>
        <v>0</v>
      </c>
    </row>
    <row r="30" spans="1:19" x14ac:dyDescent="0.25">
      <c r="N30" s="8"/>
      <c r="O30" s="8"/>
      <c r="R30">
        <f ca="1"/>
        <v>1070</v>
      </c>
      <c r="S30">
        <f ca="1"/>
        <v>0</v>
      </c>
    </row>
    <row r="31" spans="1:19" x14ac:dyDescent="0.25">
      <c r="N31" s="8"/>
      <c r="O31" s="8"/>
      <c r="R31">
        <f ca="1"/>
        <v>1080</v>
      </c>
      <c r="S31">
        <f ca="1"/>
        <v>0</v>
      </c>
    </row>
    <row r="32" spans="1:19" x14ac:dyDescent="0.25">
      <c r="N32" s="8"/>
      <c r="O32" s="8"/>
      <c r="R32">
        <f ca="1"/>
        <v>1090</v>
      </c>
      <c r="S32">
        <f ca="1"/>
        <v>0</v>
      </c>
    </row>
    <row r="33" spans="14:19" x14ac:dyDescent="0.25">
      <c r="N33" s="8"/>
      <c r="O33" s="8"/>
      <c r="R33">
        <f ca="1"/>
        <v>1100</v>
      </c>
      <c r="S33">
        <f ca="1"/>
        <v>0</v>
      </c>
    </row>
    <row r="34" spans="14:19" x14ac:dyDescent="0.25">
      <c r="N34" s="8"/>
      <c r="O34" s="8"/>
      <c r="R34">
        <f ca="1"/>
        <v>1110</v>
      </c>
      <c r="S34">
        <f ca="1"/>
        <v>0</v>
      </c>
    </row>
    <row r="35" spans="14:19" x14ac:dyDescent="0.25">
      <c r="N35" s="8"/>
      <c r="O35" s="8"/>
      <c r="R35">
        <f ca="1"/>
        <v>1120</v>
      </c>
      <c r="S35">
        <f ca="1"/>
        <v>0</v>
      </c>
    </row>
    <row r="36" spans="14:19" x14ac:dyDescent="0.25">
      <c r="N36" s="8"/>
      <c r="O36" s="8"/>
      <c r="R36">
        <f ca="1"/>
        <v>1130</v>
      </c>
      <c r="S36">
        <f ca="1"/>
        <v>0</v>
      </c>
    </row>
    <row r="37" spans="14:19" x14ac:dyDescent="0.25">
      <c r="N37" s="8"/>
      <c r="O37" s="8"/>
      <c r="R37">
        <f ca="1"/>
        <v>1140</v>
      </c>
      <c r="S37">
        <f ca="1"/>
        <v>0</v>
      </c>
    </row>
    <row r="38" spans="14:19" x14ac:dyDescent="0.25">
      <c r="N38" s="8"/>
      <c r="O38" s="8"/>
      <c r="R38">
        <f ca="1"/>
        <v>1150</v>
      </c>
      <c r="S38">
        <f ca="1"/>
        <v>0</v>
      </c>
    </row>
    <row r="39" spans="14:19" x14ac:dyDescent="0.25">
      <c r="N39" s="8"/>
      <c r="O39" s="8"/>
      <c r="R39">
        <f ca="1"/>
        <v>1160</v>
      </c>
      <c r="S39">
        <f ca="1"/>
        <v>0</v>
      </c>
    </row>
    <row r="40" spans="14:19" x14ac:dyDescent="0.25">
      <c r="N40" s="8"/>
      <c r="O40" s="8"/>
      <c r="R40">
        <f ca="1"/>
        <v>1170</v>
      </c>
      <c r="S40">
        <f ca="1"/>
        <v>0</v>
      </c>
    </row>
    <row r="41" spans="14:19" x14ac:dyDescent="0.25">
      <c r="N41" s="8"/>
      <c r="O41" s="8"/>
      <c r="R41">
        <f ca="1"/>
        <v>1180</v>
      </c>
      <c r="S41">
        <f ca="1"/>
        <v>0</v>
      </c>
    </row>
    <row r="42" spans="14:19" x14ac:dyDescent="0.25">
      <c r="N42" s="8"/>
      <c r="O42" s="8"/>
      <c r="R42">
        <f ca="1"/>
        <v>1190</v>
      </c>
      <c r="S42">
        <f ca="1"/>
        <v>0</v>
      </c>
    </row>
    <row r="43" spans="14:19" x14ac:dyDescent="0.25">
      <c r="R43" t="e">
        <f ca="1"/>
        <v>#N/A</v>
      </c>
      <c r="S43" t="e">
        <f ca="1"/>
        <v>#N/A</v>
      </c>
    </row>
    <row r="44" spans="14:19" x14ac:dyDescent="0.25">
      <c r="R44" t="e">
        <f ca="1"/>
        <v>#N/A</v>
      </c>
      <c r="S44" t="e">
        <f ca="1"/>
        <v>#N/A</v>
      </c>
    </row>
    <row r="45" spans="14:19" x14ac:dyDescent="0.25">
      <c r="R45" t="e">
        <f ca="1"/>
        <v>#N/A</v>
      </c>
      <c r="S45" t="e">
        <f ca="1"/>
        <v>#N/A</v>
      </c>
    </row>
    <row r="46" spans="14:19" x14ac:dyDescent="0.25">
      <c r="R46" t="e">
        <f ca="1"/>
        <v>#N/A</v>
      </c>
      <c r="S46" t="e">
        <f ca="1"/>
        <v>#N/A</v>
      </c>
    </row>
    <row r="47" spans="14:19" x14ac:dyDescent="0.25">
      <c r="R47" t="e">
        <f ca="1"/>
        <v>#N/A</v>
      </c>
      <c r="S47" t="e">
        <f ca="1"/>
        <v>#N/A</v>
      </c>
    </row>
    <row r="48" spans="14:19" x14ac:dyDescent="0.25">
      <c r="R48" t="e">
        <f ca="1"/>
        <v>#N/A</v>
      </c>
      <c r="S48" t="e">
        <f ca="1"/>
        <v>#N/A</v>
      </c>
    </row>
    <row r="49" spans="18:19" x14ac:dyDescent="0.25">
      <c r="R49" t="e">
        <f ca="1"/>
        <v>#N/A</v>
      </c>
      <c r="S49" t="e">
        <f ca="1"/>
        <v>#N/A</v>
      </c>
    </row>
    <row r="50" spans="18:19" x14ac:dyDescent="0.25">
      <c r="R50" t="e">
        <f ca="1"/>
        <v>#N/A</v>
      </c>
      <c r="S50" t="e">
        <f ca="1"/>
        <v>#N/A</v>
      </c>
    </row>
    <row r="51" spans="18:19" x14ac:dyDescent="0.25">
      <c r="R51" t="e">
        <f ca="1"/>
        <v>#N/A</v>
      </c>
      <c r="S51" t="e">
        <f ca="1"/>
        <v>#N/A</v>
      </c>
    </row>
    <row r="52" spans="18:19" x14ac:dyDescent="0.25">
      <c r="R52" t="e">
        <f ca="1"/>
        <v>#N/A</v>
      </c>
      <c r="S52" t="e">
        <f ca="1"/>
        <v>#N/A</v>
      </c>
    </row>
    <row r="53" spans="18:19" x14ac:dyDescent="0.25">
      <c r="R53" t="e">
        <f ca="1"/>
        <v>#N/A</v>
      </c>
      <c r="S53" t="e">
        <f ca="1"/>
        <v>#N/A</v>
      </c>
    </row>
    <row r="54" spans="18:19" x14ac:dyDescent="0.25">
      <c r="R54" t="e">
        <f ca="1"/>
        <v>#N/A</v>
      </c>
      <c r="S54" t="e">
        <f ca="1"/>
        <v>#N/A</v>
      </c>
    </row>
    <row r="55" spans="18:19" x14ac:dyDescent="0.25">
      <c r="R55" t="e">
        <f ca="1"/>
        <v>#N/A</v>
      </c>
      <c r="S55" t="e">
        <f ca="1"/>
        <v>#N/A</v>
      </c>
    </row>
    <row r="56" spans="18:19" x14ac:dyDescent="0.25">
      <c r="R56" t="e">
        <f ca="1"/>
        <v>#N/A</v>
      </c>
      <c r="S56" t="e">
        <f ca="1"/>
        <v>#N/A</v>
      </c>
    </row>
    <row r="57" spans="18:19" x14ac:dyDescent="0.25">
      <c r="R57" t="e">
        <f ca="1"/>
        <v>#N/A</v>
      </c>
      <c r="S57" t="e">
        <f ca="1"/>
        <v>#N/A</v>
      </c>
    </row>
    <row r="58" spans="18:19" x14ac:dyDescent="0.25">
      <c r="R58" t="e">
        <f ca="1"/>
        <v>#N/A</v>
      </c>
      <c r="S58" t="e">
        <f ca="1"/>
        <v>#N/A</v>
      </c>
    </row>
    <row r="59" spans="18:19" x14ac:dyDescent="0.25">
      <c r="R59" t="e">
        <f ca="1"/>
        <v>#N/A</v>
      </c>
      <c r="S59" t="e">
        <f ca="1"/>
        <v>#N/A</v>
      </c>
    </row>
    <row r="60" spans="18:19" x14ac:dyDescent="0.25">
      <c r="R60" t="e">
        <f ca="1"/>
        <v>#N/A</v>
      </c>
      <c r="S60" t="e">
        <f ca="1"/>
        <v>#N/A</v>
      </c>
    </row>
    <row r="61" spans="18:19" x14ac:dyDescent="0.25">
      <c r="R61" t="e">
        <f ca="1"/>
        <v>#N/A</v>
      </c>
      <c r="S61" t="e">
        <f ca="1"/>
        <v>#N/A</v>
      </c>
    </row>
    <row r="62" spans="18:19" x14ac:dyDescent="0.25">
      <c r="R62" t="e">
        <f ca="1"/>
        <v>#N/A</v>
      </c>
      <c r="S62" t="e">
        <f ca="1"/>
        <v>#N/A</v>
      </c>
    </row>
    <row r="63" spans="18:19" x14ac:dyDescent="0.25">
      <c r="R63" t="e">
        <f ca="1"/>
        <v>#N/A</v>
      </c>
      <c r="S63" t="e">
        <f ca="1"/>
        <v>#N/A</v>
      </c>
    </row>
    <row r="64" spans="18:19" x14ac:dyDescent="0.25">
      <c r="R64" t="e">
        <f ca="1"/>
        <v>#N/A</v>
      </c>
      <c r="S64" t="e">
        <f ca="1"/>
        <v>#N/A</v>
      </c>
    </row>
    <row r="65" spans="18:19" x14ac:dyDescent="0.25">
      <c r="R65" t="e">
        <f ca="1"/>
        <v>#N/A</v>
      </c>
      <c r="S65" t="e">
        <f ca="1"/>
        <v>#N/A</v>
      </c>
    </row>
    <row r="66" spans="18:19" x14ac:dyDescent="0.25">
      <c r="R66" t="e">
        <f ca="1"/>
        <v>#N/A</v>
      </c>
      <c r="S66" t="e">
        <f ca="1"/>
        <v>#N/A</v>
      </c>
    </row>
    <row r="67" spans="18:19" x14ac:dyDescent="0.25">
      <c r="R67" t="e">
        <f ca="1"/>
        <v>#N/A</v>
      </c>
      <c r="S67" t="e">
        <f ca="1"/>
        <v>#N/A</v>
      </c>
    </row>
    <row r="68" spans="18:19" x14ac:dyDescent="0.25">
      <c r="R68" t="e">
        <f ca="1"/>
        <v>#N/A</v>
      </c>
      <c r="S68" t="e">
        <f ca="1"/>
        <v>#N/A</v>
      </c>
    </row>
    <row r="69" spans="18:19" x14ac:dyDescent="0.25">
      <c r="R69" t="e">
        <f ca="1"/>
        <v>#N/A</v>
      </c>
      <c r="S69" t="e">
        <f ca="1"/>
        <v>#N/A</v>
      </c>
    </row>
    <row r="70" spans="18:19" x14ac:dyDescent="0.25">
      <c r="R70" t="e">
        <f ca="1"/>
        <v>#N/A</v>
      </c>
      <c r="S70" t="e">
        <f ca="1"/>
        <v>#N/A</v>
      </c>
    </row>
    <row r="71" spans="18:19" x14ac:dyDescent="0.25">
      <c r="R71" t="e">
        <f ca="1"/>
        <v>#N/A</v>
      </c>
      <c r="S71" t="e">
        <f ca="1"/>
        <v>#N/A</v>
      </c>
    </row>
    <row r="72" spans="18:19" x14ac:dyDescent="0.25">
      <c r="R72" t="e">
        <f ca="1"/>
        <v>#N/A</v>
      </c>
      <c r="S72" t="e">
        <f ca="1"/>
        <v>#N/A</v>
      </c>
    </row>
    <row r="73" spans="18:19" x14ac:dyDescent="0.25">
      <c r="R73" t="e">
        <f ca="1"/>
        <v>#N/A</v>
      </c>
      <c r="S73" t="e">
        <f ca="1"/>
        <v>#N/A</v>
      </c>
    </row>
    <row r="74" spans="18:19" x14ac:dyDescent="0.25">
      <c r="R74" t="e">
        <f ca="1"/>
        <v>#N/A</v>
      </c>
      <c r="S74" t="e">
        <f ca="1"/>
        <v>#N/A</v>
      </c>
    </row>
    <row r="75" spans="18:19" x14ac:dyDescent="0.25">
      <c r="R75" t="e">
        <f ca="1"/>
        <v>#N/A</v>
      </c>
      <c r="S75" t="e">
        <f ca="1"/>
        <v>#N/A</v>
      </c>
    </row>
    <row r="76" spans="18:19" x14ac:dyDescent="0.25">
      <c r="R76" t="e">
        <f ca="1"/>
        <v>#N/A</v>
      </c>
      <c r="S76" t="e">
        <f ca="1"/>
        <v>#N/A</v>
      </c>
    </row>
    <row r="77" spans="18:19" x14ac:dyDescent="0.25">
      <c r="R77" t="e">
        <f ca="1"/>
        <v>#N/A</v>
      </c>
      <c r="S77" t="e">
        <f ca="1"/>
        <v>#N/A</v>
      </c>
    </row>
    <row r="78" spans="18:19" x14ac:dyDescent="0.25">
      <c r="R78" t="e">
        <f ca="1"/>
        <v>#N/A</v>
      </c>
      <c r="S78" t="e">
        <f ca="1"/>
        <v>#N/A</v>
      </c>
    </row>
    <row r="79" spans="18:19" x14ac:dyDescent="0.25">
      <c r="R79" t="e">
        <f ca="1"/>
        <v>#N/A</v>
      </c>
      <c r="S79" t="e">
        <f ca="1"/>
        <v>#N/A</v>
      </c>
    </row>
    <row r="80" spans="18:19" x14ac:dyDescent="0.25">
      <c r="R80" t="e">
        <f ca="1"/>
        <v>#N/A</v>
      </c>
      <c r="S80" t="e">
        <f ca="1"/>
        <v>#N/A</v>
      </c>
    </row>
    <row r="81" spans="18:19" x14ac:dyDescent="0.25">
      <c r="R81" t="e">
        <f ca="1"/>
        <v>#N/A</v>
      </c>
      <c r="S81" t="e">
        <f ca="1"/>
        <v>#N/A</v>
      </c>
    </row>
    <row r="82" spans="18:19" x14ac:dyDescent="0.25">
      <c r="R82" t="e">
        <f ca="1"/>
        <v>#N/A</v>
      </c>
      <c r="S82" t="e">
        <f ca="1"/>
        <v>#N/A</v>
      </c>
    </row>
    <row r="83" spans="18:19" x14ac:dyDescent="0.25">
      <c r="R83" t="e">
        <f ca="1"/>
        <v>#N/A</v>
      </c>
      <c r="S83" t="e">
        <f ca="1"/>
        <v>#N/A</v>
      </c>
    </row>
    <row r="84" spans="18:19" x14ac:dyDescent="0.25">
      <c r="R84" t="e">
        <f ca="1"/>
        <v>#N/A</v>
      </c>
      <c r="S84" t="e">
        <f ca="1"/>
        <v>#N/A</v>
      </c>
    </row>
    <row r="85" spans="18:19" x14ac:dyDescent="0.25">
      <c r="R85" t="e">
        <f ca="1"/>
        <v>#N/A</v>
      </c>
      <c r="S85" t="e">
        <f ca="1"/>
        <v>#N/A</v>
      </c>
    </row>
    <row r="86" spans="18:19" x14ac:dyDescent="0.25">
      <c r="R86" t="e">
        <f ca="1"/>
        <v>#N/A</v>
      </c>
      <c r="S86" t="e">
        <f ca="1"/>
        <v>#N/A</v>
      </c>
    </row>
    <row r="87" spans="18:19" x14ac:dyDescent="0.25">
      <c r="R87" t="e">
        <f ca="1"/>
        <v>#N/A</v>
      </c>
      <c r="S87" t="e">
        <f ca="1"/>
        <v>#N/A</v>
      </c>
    </row>
    <row r="88" spans="18:19" x14ac:dyDescent="0.25">
      <c r="R88" t="e">
        <f ca="1"/>
        <v>#N/A</v>
      </c>
      <c r="S88" t="e">
        <f ca="1"/>
        <v>#N/A</v>
      </c>
    </row>
    <row r="89" spans="18:19" x14ac:dyDescent="0.25">
      <c r="R89" t="e">
        <f ca="1"/>
        <v>#N/A</v>
      </c>
      <c r="S89" t="e">
        <f ca="1"/>
        <v>#N/A</v>
      </c>
    </row>
    <row r="90" spans="18:19" x14ac:dyDescent="0.25">
      <c r="R90" t="e">
        <f ca="1"/>
        <v>#N/A</v>
      </c>
      <c r="S90" t="e">
        <f ca="1"/>
        <v>#N/A</v>
      </c>
    </row>
    <row r="91" spans="18:19" x14ac:dyDescent="0.25">
      <c r="R91" t="e">
        <f ca="1"/>
        <v>#N/A</v>
      </c>
      <c r="S91" t="e">
        <f ca="1"/>
        <v>#N/A</v>
      </c>
    </row>
    <row r="92" spans="18:19" x14ac:dyDescent="0.25">
      <c r="R92" t="e">
        <f ca="1"/>
        <v>#N/A</v>
      </c>
      <c r="S92" t="e">
        <f ca="1"/>
        <v>#N/A</v>
      </c>
    </row>
    <row r="93" spans="18:19" x14ac:dyDescent="0.25">
      <c r="R93" t="e">
        <f ca="1"/>
        <v>#N/A</v>
      </c>
      <c r="S93" t="e">
        <f ca="1"/>
        <v>#N/A</v>
      </c>
    </row>
    <row r="94" spans="18:19" x14ac:dyDescent="0.25">
      <c r="R94" t="e">
        <f ca="1"/>
        <v>#N/A</v>
      </c>
      <c r="S94" t="e">
        <f ca="1"/>
        <v>#N/A</v>
      </c>
    </row>
    <row r="95" spans="18:19" x14ac:dyDescent="0.25">
      <c r="R95" t="e">
        <f ca="1"/>
        <v>#N/A</v>
      </c>
      <c r="S95" t="e">
        <f ca="1"/>
        <v>#N/A</v>
      </c>
    </row>
    <row r="96" spans="18:19" x14ac:dyDescent="0.25">
      <c r="R96" t="e">
        <f ca="1"/>
        <v>#N/A</v>
      </c>
      <c r="S96" t="e">
        <f ca="1"/>
        <v>#N/A</v>
      </c>
    </row>
    <row r="97" spans="18:19" x14ac:dyDescent="0.25">
      <c r="R97" t="e">
        <f ca="1"/>
        <v>#N/A</v>
      </c>
      <c r="S97" t="e">
        <f ca="1"/>
        <v>#N/A</v>
      </c>
    </row>
    <row r="98" spans="18:19" x14ac:dyDescent="0.25">
      <c r="R98" t="e">
        <f ca="1"/>
        <v>#N/A</v>
      </c>
      <c r="S98" t="e">
        <f ca="1"/>
        <v>#N/A</v>
      </c>
    </row>
    <row r="99" spans="18:19" x14ac:dyDescent="0.25">
      <c r="R99" t="e">
        <f ca="1"/>
        <v>#N/A</v>
      </c>
      <c r="S99" t="e">
        <f ca="1"/>
        <v>#N/A</v>
      </c>
    </row>
    <row r="100" spans="18:19" x14ac:dyDescent="0.25">
      <c r="R100" t="e">
        <f ca="1"/>
        <v>#N/A</v>
      </c>
      <c r="S100" t="e">
        <f ca="1"/>
        <v>#N/A</v>
      </c>
    </row>
    <row r="101" spans="18:19" x14ac:dyDescent="0.25">
      <c r="R101" t="e">
        <f ca="1"/>
        <v>#N/A</v>
      </c>
      <c r="S101" t="e">
        <f ca="1"/>
        <v>#N/A</v>
      </c>
    </row>
    <row r="102" spans="18:19" x14ac:dyDescent="0.25">
      <c r="R102" t="e">
        <f ca="1"/>
        <v>#N/A</v>
      </c>
      <c r="S102" t="e">
        <f ca="1"/>
        <v>#N/A</v>
      </c>
    </row>
  </sheetData>
  <phoneticPr fontId="1" type="noConversion"/>
  <dataValidations count="3">
    <dataValidation type="list" allowBlank="1" showInputMessage="1" showErrorMessage="1" sqref="B6">
      <formula1>OptionDirection</formula1>
    </dataValidation>
    <dataValidation type="list" allowBlank="1" showInputMessage="1" showErrorMessage="1" sqref="B11">
      <formula1>DayCount</formula1>
    </dataValidation>
    <dataValidation type="list" allowBlank="1" showInputMessage="1" showErrorMessage="1" sqref="B14">
      <formula1>ValuationModel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referenceData!$H$2:$H$7</xm:f>
          </x14:formula1>
          <xm:sqref>B2</xm:sqref>
        </x14:dataValidation>
        <x14:dataValidation type="list" allowBlank="1" showInputMessage="1" showErrorMessage="1">
          <x14:formula1>
            <xm:f>referenceData!$K$2:$K$5</xm:f>
          </x14:formula1>
          <xm:sqref>E1:E5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f"/>
  <dimension ref="A1:K7"/>
  <sheetViews>
    <sheetView workbookViewId="0">
      <selection activeCell="F6" sqref="F6"/>
    </sheetView>
  </sheetViews>
  <sheetFormatPr defaultRowHeight="14.4" x14ac:dyDescent="0.25"/>
  <cols>
    <col min="1" max="1" width="23.88671875" bestFit="1" customWidth="1"/>
    <col min="2" max="2" width="9.6640625" bestFit="1" customWidth="1"/>
    <col min="3" max="3" width="10.5546875" bestFit="1" customWidth="1"/>
    <col min="4" max="4" width="11.77734375" bestFit="1" customWidth="1"/>
    <col min="5" max="5" width="17.33203125" bestFit="1" customWidth="1"/>
    <col min="6" max="6" width="11.77734375" bestFit="1" customWidth="1"/>
    <col min="7" max="7" width="17.33203125" bestFit="1" customWidth="1"/>
    <col min="8" max="8" width="21.6640625" bestFit="1" customWidth="1"/>
    <col min="9" max="9" width="16.21875" bestFit="1" customWidth="1"/>
    <col min="10" max="10" width="8.21875" bestFit="1" customWidth="1"/>
    <col min="11" max="11" width="9" bestFit="1" customWidth="1"/>
  </cols>
  <sheetData>
    <row r="1" spans="1:11" x14ac:dyDescent="0.25">
      <c r="A1" s="1" t="str">
        <f t="array" aca="1" ref="A1:K7" ca="1">_xll.getJqProps()</f>
        <v>BizDayAdjust</v>
      </c>
      <c r="B1" s="1" t="str">
        <f ca="1"/>
        <v>Currency</v>
      </c>
      <c r="C1" s="1" t="str">
        <f ca="1"/>
        <v>DayCountType</v>
      </c>
      <c r="D1" s="1" t="str">
        <f ca="1"/>
        <v>Frequency</v>
      </c>
      <c r="E1" s="1" t="str">
        <f ca="1"/>
        <v>OptionDirection</v>
      </c>
      <c r="F1" s="1" t="str">
        <f ca="1"/>
        <v>Stub</v>
      </c>
      <c r="G1" s="1" t="str">
        <f ca="1"/>
        <v>TradeLabel</v>
      </c>
      <c r="H1" s="1" t="str">
        <f ca="1"/>
        <v>TradeType</v>
      </c>
      <c r="I1" s="1" t="str">
        <f ca="1"/>
        <v>ValuationModel</v>
      </c>
      <c r="J1" s="1" t="str">
        <f ca="1"/>
        <v>Venue</v>
      </c>
      <c r="K1" s="1" t="str">
        <f ca="1"/>
        <v>MktDataType</v>
      </c>
    </row>
    <row r="2" spans="1:11" x14ac:dyDescent="0.25">
      <c r="A2" t="str">
        <f ca="1"/>
        <v>None</v>
      </c>
      <c r="B2" t="str">
        <f ca="1"/>
        <v>Cny</v>
      </c>
      <c r="C2" t="str">
        <f ca="1"/>
        <v>Act360</v>
      </c>
      <c r="D2" t="str">
        <f ca="1"/>
        <v>Continuous</v>
      </c>
      <c r="E2" t="str">
        <f ca="1"/>
        <v>Call</v>
      </c>
      <c r="F2" t="str">
        <f ca="1"/>
        <v>ShortStart</v>
      </c>
      <c r="G2" t="str">
        <f ca="1"/>
        <v>TradeType</v>
      </c>
      <c r="H2" t="str">
        <f ca="1"/>
        <v>VanillaOption</v>
      </c>
      <c r="I2" t="str">
        <f ca="1"/>
        <v>Analytical</v>
      </c>
      <c r="J2" t="str">
        <f ca="1"/>
        <v>ShExg</v>
      </c>
      <c r="K2" t="str">
        <f ca="1"/>
        <v>MktDate</v>
      </c>
    </row>
    <row r="3" spans="1:11" x14ac:dyDescent="0.25">
      <c r="A3" t="str">
        <f ca="1"/>
        <v>Following</v>
      </c>
      <c r="B3" t="str">
        <f ca="1"/>
        <v/>
      </c>
      <c r="C3" t="str">
        <f ca="1"/>
        <v>Act365</v>
      </c>
      <c r="D3" t="str">
        <f ca="1"/>
        <v>Monthly</v>
      </c>
      <c r="E3" t="str">
        <f ca="1"/>
        <v>Put</v>
      </c>
      <c r="F3" t="str">
        <f ca="1"/>
        <v>ShortEnd</v>
      </c>
      <c r="G3" t="str">
        <f ca="1"/>
        <v>StartDate</v>
      </c>
      <c r="H3" t="str">
        <f ca="1"/>
        <v>DigitalOption</v>
      </c>
      <c r="I3" t="str">
        <f ca="1"/>
        <v>MonteCarlo</v>
      </c>
      <c r="J3" t="str">
        <f ca="1"/>
        <v>SzExg</v>
      </c>
      <c r="K3" t="str">
        <f ca="1"/>
        <v>RiskfreeRate</v>
      </c>
    </row>
    <row r="4" spans="1:11" x14ac:dyDescent="0.25">
      <c r="A4" t="str">
        <f ca="1"/>
        <v>ModifiedFollowing</v>
      </c>
      <c r="B4" t="str">
        <f ca="1"/>
        <v/>
      </c>
      <c r="C4" t="str">
        <f ca="1"/>
        <v>ActAct</v>
      </c>
      <c r="D4" t="str">
        <f ca="1"/>
        <v>Quarterly</v>
      </c>
      <c r="E4" t="str">
        <f ca="1"/>
        <v/>
      </c>
      <c r="F4" t="str">
        <f ca="1"/>
        <v>LongStart</v>
      </c>
      <c r="G4" t="str">
        <f ca="1"/>
        <v>MaturityDate</v>
      </c>
      <c r="H4" t="str">
        <f ca="1"/>
        <v>DoubleBarrierOption</v>
      </c>
      <c r="I4" t="str">
        <f ca="1"/>
        <v/>
      </c>
      <c r="J4" t="str">
        <f ca="1"/>
        <v>Cib</v>
      </c>
      <c r="K4" t="str">
        <f ca="1"/>
        <v>DividendRate</v>
      </c>
    </row>
    <row r="5" spans="1:11" x14ac:dyDescent="0.25">
      <c r="A5" t="str">
        <f ca="1"/>
        <v>Previous</v>
      </c>
      <c r="B5" t="str">
        <f ca="1"/>
        <v/>
      </c>
      <c r="C5" t="str">
        <f ca="1"/>
        <v/>
      </c>
      <c r="D5" t="str">
        <f ca="1"/>
        <v>SemiAnnual</v>
      </c>
      <c r="E5" t="str">
        <f ca="1"/>
        <v/>
      </c>
      <c r="F5" t="str">
        <f ca="1"/>
        <v>LongEnd</v>
      </c>
      <c r="G5" t="str">
        <f ca="1"/>
        <v>Notional</v>
      </c>
      <c r="H5" t="str">
        <f ca="1"/>
        <v>RangeAccrual</v>
      </c>
      <c r="I5" t="str">
        <f ca="1"/>
        <v/>
      </c>
      <c r="J5" t="str">
        <f ca="1"/>
        <v>Otc</v>
      </c>
      <c r="K5" t="str">
        <f ca="1"/>
        <v>S0</v>
      </c>
    </row>
    <row r="6" spans="1:11" x14ac:dyDescent="0.25">
      <c r="A6" t="str">
        <f ca="1"/>
        <v>ModifiedPrevious</v>
      </c>
      <c r="B6" t="str">
        <f ca="1"/>
        <v/>
      </c>
      <c r="C6" t="str">
        <f ca="1"/>
        <v/>
      </c>
      <c r="D6" t="str">
        <f ca="1"/>
        <v>Annually</v>
      </c>
      <c r="E6" t="str">
        <f ca="1"/>
        <v/>
      </c>
      <c r="F6" t="str">
        <f ca="1"/>
        <v/>
      </c>
      <c r="G6" t="str">
        <f ca="1"/>
        <v>UnderlyingTicker</v>
      </c>
      <c r="H6" t="str">
        <f ca="1"/>
        <v/>
      </c>
      <c r="I6" t="str">
        <f ca="1"/>
        <v/>
      </c>
      <c r="J6" t="str">
        <f ca="1"/>
        <v/>
      </c>
      <c r="K6" t="str">
        <f ca="1"/>
        <v>Vol</v>
      </c>
    </row>
    <row r="7" spans="1:11" x14ac:dyDescent="0.25">
      <c r="A7" t="str">
        <f ca="1"/>
        <v/>
      </c>
      <c r="B7" t="str">
        <f ca="1"/>
        <v/>
      </c>
      <c r="C7" t="str">
        <f ca="1"/>
        <v/>
      </c>
      <c r="D7" t="str">
        <f ca="1"/>
        <v/>
      </c>
      <c r="E7" t="str">
        <f ca="1"/>
        <v/>
      </c>
      <c r="F7" t="str">
        <f ca="1"/>
        <v/>
      </c>
      <c r="G7" t="str">
        <f ca="1"/>
        <v>ValuationModel</v>
      </c>
      <c r="H7" t="str">
        <f ca="1"/>
        <v/>
      </c>
      <c r="I7" t="str">
        <f ca="1"/>
        <v/>
      </c>
      <c r="J7" t="str">
        <f ca="1"/>
        <v/>
      </c>
      <c r="K7" t="str">
        <f ca="1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TradeData"/>
  <dimension ref="A1:D15"/>
  <sheetViews>
    <sheetView workbookViewId="0">
      <selection activeCell="D1" sqref="D1"/>
    </sheetView>
  </sheetViews>
  <sheetFormatPr defaultRowHeight="14.4" x14ac:dyDescent="0.25"/>
  <cols>
    <col min="1" max="1" width="18.33203125" bestFit="1" customWidth="1"/>
    <col min="2" max="2" width="23.77734375" bestFit="1" customWidth="1"/>
    <col min="3" max="3" width="18.33203125" bestFit="1" customWidth="1"/>
    <col min="4" max="4" width="23.77734375" bestFit="1" customWidth="1"/>
  </cols>
  <sheetData>
    <row r="1" spans="1:4" x14ac:dyDescent="0.25">
      <c r="A1" t="str">
        <f t="array" aca="1" ref="A1:D15" ca="1">_xll.getTemplateTradeData()</f>
        <v>tradeType</v>
      </c>
      <c r="B1" t="str">
        <f ca="1"/>
        <v>VanillaOption</v>
      </c>
      <c r="C1" t="str">
        <f ca="1"/>
        <v>tradeType</v>
      </c>
      <c r="D1" t="str">
        <f ca="1"/>
        <v>DigitalOption</v>
      </c>
    </row>
    <row r="2" spans="1:4" x14ac:dyDescent="0.25">
      <c r="A2" t="str">
        <f ca="1"/>
        <v>startDate</v>
      </c>
      <c r="B2" t="str">
        <f ca="1"/>
        <v>2019-05-16</v>
      </c>
      <c r="C2" t="str">
        <f ca="1"/>
        <v>startDate</v>
      </c>
      <c r="D2" t="str">
        <f ca="1"/>
        <v>2019-05-16</v>
      </c>
    </row>
    <row r="3" spans="1:4" x14ac:dyDescent="0.25">
      <c r="A3" t="str">
        <f ca="1"/>
        <v>maturityDate</v>
      </c>
      <c r="B3" t="str">
        <f ca="1"/>
        <v>2020-05-16</v>
      </c>
      <c r="C3" t="str">
        <f ca="1"/>
        <v>maturityDate</v>
      </c>
      <c r="D3" t="str">
        <f ca="1"/>
        <v>2020-05-16</v>
      </c>
    </row>
    <row r="4" spans="1:4" x14ac:dyDescent="0.25">
      <c r="A4" t="str">
        <f ca="1"/>
        <v>notional</v>
      </c>
      <c r="B4" t="str">
        <f ca="1"/>
        <v>1.0</v>
      </c>
      <c r="C4" t="str">
        <f ca="1"/>
        <v>notional</v>
      </c>
      <c r="D4" t="str">
        <f ca="1"/>
        <v>1.0</v>
      </c>
    </row>
    <row r="5" spans="1:4" x14ac:dyDescent="0.25">
      <c r="A5" t="str">
        <f ca="1"/>
        <v>optionDirection</v>
      </c>
      <c r="B5" t="str">
        <f ca="1"/>
        <v>Call</v>
      </c>
      <c r="C5" t="str">
        <f ca="1"/>
        <v>optionDirection</v>
      </c>
      <c r="D5" t="str">
        <f ca="1"/>
        <v>Call</v>
      </c>
    </row>
    <row r="6" spans="1:4" x14ac:dyDescent="0.25">
      <c r="A6" t="str">
        <f ca="1"/>
        <v>underlyingTicker</v>
      </c>
      <c r="B6" t="str">
        <f ca="1"/>
        <v>SH000300</v>
      </c>
      <c r="C6" t="str">
        <f ca="1"/>
        <v>underlyingTicker</v>
      </c>
      <c r="D6" t="str">
        <f ca="1"/>
        <v>SH000300</v>
      </c>
    </row>
    <row r="7" spans="1:4" x14ac:dyDescent="0.25">
      <c r="A7" t="str">
        <f ca="1"/>
        <v>exerciseDates</v>
      </c>
      <c r="B7" t="str">
        <f ca="1"/>
        <v>2020-05-16</v>
      </c>
      <c r="C7" t="str">
        <f ca="1"/>
        <v>exerciseDates</v>
      </c>
      <c r="D7" t="str">
        <f ca="1"/>
        <v>2020-05-16</v>
      </c>
    </row>
    <row r="8" spans="1:4" x14ac:dyDescent="0.25">
      <c r="A8" t="str">
        <f ca="1"/>
        <v>observeDates</v>
      </c>
      <c r="B8" t="str">
        <f ca="1"/>
        <v>2020-05-16</v>
      </c>
      <c r="C8" t="str">
        <f ca="1"/>
        <v>observeDates</v>
      </c>
      <c r="D8" t="str">
        <f ca="1"/>
        <v>2020-05-16</v>
      </c>
    </row>
    <row r="9" spans="1:4" x14ac:dyDescent="0.25">
      <c r="A9" t="str">
        <f ca="1"/>
        <v>strike</v>
      </c>
      <c r="B9" t="str">
        <f ca="1"/>
        <v>1000.0</v>
      </c>
      <c r="C9" t="str">
        <f ca="1"/>
        <v>strike</v>
      </c>
      <c r="D9" t="str">
        <f ca="1"/>
        <v>1000.0</v>
      </c>
    </row>
    <row r="10" spans="1:4" x14ac:dyDescent="0.25">
      <c r="A10" t="str">
        <f ca="1"/>
        <v>dayCount</v>
      </c>
      <c r="B10" t="str">
        <f ca="1"/>
        <v>Act365</v>
      </c>
      <c r="C10" t="str">
        <f ca="1"/>
        <v>dayCount</v>
      </c>
      <c r="D10" t="str">
        <f ca="1"/>
        <v>Act365</v>
      </c>
    </row>
    <row r="11" spans="1:4" x14ac:dyDescent="0.25">
      <c r="A11" t="str">
        <f ca="1"/>
        <v>domCurrency</v>
      </c>
      <c r="B11" t="str">
        <f ca="1"/>
        <v>Cny</v>
      </c>
      <c r="C11" t="str">
        <f ca="1"/>
        <v>domCurrency</v>
      </c>
      <c r="D11" t="str">
        <f ca="1"/>
        <v>Cny</v>
      </c>
    </row>
    <row r="12" spans="1:4" x14ac:dyDescent="0.25">
      <c r="A12" t="str">
        <f ca="1"/>
        <v>fgnCurrency</v>
      </c>
      <c r="B12" t="str">
        <f ca="1"/>
        <v/>
      </c>
      <c r="C12" t="str">
        <f ca="1"/>
        <v>fgnCurrency</v>
      </c>
      <c r="D12" t="str">
        <f ca="1"/>
        <v/>
      </c>
    </row>
    <row r="13" spans="1:4" x14ac:dyDescent="0.25">
      <c r="A13" t="str">
        <f ca="1"/>
        <v>valuationModel</v>
      </c>
      <c r="B13" t="str">
        <f ca="1"/>
        <v>Analytical</v>
      </c>
      <c r="C13" t="str">
        <f ca="1"/>
        <v>valuationModel</v>
      </c>
      <c r="D13" t="str">
        <f ca="1"/>
        <v>Analytical</v>
      </c>
    </row>
    <row r="14" spans="1:4" x14ac:dyDescent="0.25">
      <c r="A14" t="str">
        <f ca="1"/>
        <v>numPath</v>
      </c>
      <c r="B14" t="str">
        <f ca="1"/>
        <v>5000</v>
      </c>
      <c r="C14" t="str">
        <f ca="1"/>
        <v>numPath</v>
      </c>
      <c r="D14" t="str">
        <f ca="1"/>
        <v>5000</v>
      </c>
    </row>
    <row r="15" spans="1:4" x14ac:dyDescent="0.25">
      <c r="A15" t="str">
        <f ca="1"/>
        <v>calcMcGreeks</v>
      </c>
      <c r="B15" t="str">
        <f ca="1"/>
        <v>false</v>
      </c>
      <c r="C15" t="str">
        <f ca="1"/>
        <v>calcMcGreeks</v>
      </c>
      <c r="D15" t="str">
        <f ca="1"/>
        <v>false</v>
      </c>
    </row>
  </sheetData>
  <dataConsolidate link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main</vt:lpstr>
      <vt:lpstr>referenceData</vt:lpstr>
      <vt:lpstr>templateTradeData</vt:lpstr>
      <vt:lpstr>BusinessDayConvention</vt:lpstr>
      <vt:lpstr>Currency</vt:lpstr>
      <vt:lpstr>DayCount</vt:lpstr>
      <vt:lpstr>Frequency</vt:lpstr>
      <vt:lpstr>MktDataType</vt:lpstr>
      <vt:lpstr>OptionDirection</vt:lpstr>
      <vt:lpstr>Stub</vt:lpstr>
      <vt:lpstr>TradeLabel</vt:lpstr>
      <vt:lpstr>TradeType</vt:lpstr>
      <vt:lpstr>ValuationModel</vt:lpstr>
      <vt:lpstr>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ZSW007</dc:creator>
  <cp:lastModifiedBy>ZSW007</cp:lastModifiedBy>
  <cp:lastPrinted>2019-05-06T07:27:24Z</cp:lastPrinted>
  <dcterms:created xsi:type="dcterms:W3CDTF">2019-01-17T01:15:30Z</dcterms:created>
  <dcterms:modified xsi:type="dcterms:W3CDTF">2019-05-16T03:19:33Z</dcterms:modified>
</cp:coreProperties>
</file>